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orecard" sheetId="1" r:id="rId1"/>
    <sheet name="Evidence Tracker" sheetId="2" r:id="rId2"/>
    <sheet name="Findings Log" sheetId="3" r:id="rId3"/>
    <sheet name="Roadmap Builder" sheetId="4" r:id="rId4"/>
    <sheet name="Tool Inventory" sheetId="5" r:id="rId5"/>
    <sheet name="Interview Schedule" sheetId="6" r:id="rId6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7"/>
  <sheetViews>
    <sheetView workbookViewId="0"/>
  </sheetViews>
  <cols>
    <col min="1" max="1" width="18.83203125" customWidth="1"/>
    <col min="2" max="2" width="24.83203125" customWidth="1"/>
    <col min="3" max="3" width="12.83203125" customWidth="1"/>
    <col min="4" max="4" width="10.83203125" customWidth="1"/>
    <col min="5" max="5" width="8.83203125" customWidth="1"/>
    <col min="6" max="6" width="14.83203125" customWidth="1"/>
    <col min="7" max="7" width="40.83203125" customWidth="1"/>
  </cols>
  <sheetData>
    <row r="1">
      <c r="A1" t="str">
        <v>DEVSECOPS MATURITY ASSESSMENT SCORECARD</v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</row>
    <row r="2">
      <c r="A2" t="str">
        <v/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</row>
    <row r="3">
      <c r="A3" t="str">
        <v>Client:</v>
      </c>
      <c r="B3" t="str">
        <v/>
      </c>
      <c r="C3" t="str">
        <v/>
      </c>
      <c r="D3" t="str">
        <v>Date:</v>
      </c>
      <c r="E3" t="str">
        <v/>
      </c>
      <c r="F3" t="str">
        <v/>
      </c>
      <c r="G3" t="str">
        <v/>
      </c>
    </row>
    <row r="4">
      <c r="A4" t="str">
        <v>Assessor:</v>
      </c>
      <c r="B4" t="str">
        <v/>
      </c>
      <c r="C4" t="str">
        <v/>
      </c>
      <c r="D4" t="str">
        <v>Version:</v>
      </c>
      <c r="E4" t="str">
        <v>1.0</v>
      </c>
      <c r="F4" t="str">
        <v/>
      </c>
      <c r="G4" t="str">
        <v/>
      </c>
    </row>
    <row r="5">
      <c r="A5" t="str">
        <v/>
      </c>
      <c r="B5" t="str">
        <v/>
      </c>
      <c r="C5" t="str">
        <v/>
      </c>
      <c r="D5" t="str">
        <v/>
      </c>
      <c r="E5" t="str">
        <v/>
      </c>
      <c r="F5" t="str">
        <v/>
      </c>
      <c r="G5" t="str">
        <v/>
      </c>
    </row>
    <row r="6">
      <c r="A6" t="str">
        <v>SCORING GUIDE: 0=None, 1=Initial, 2=Managed, 3=Optimized</v>
      </c>
      <c r="B6" t="str">
        <v/>
      </c>
      <c r="C6" t="str">
        <v/>
      </c>
      <c r="D6" t="str">
        <v/>
      </c>
      <c r="E6" t="str">
        <v/>
      </c>
      <c r="F6" t="str">
        <v/>
      </c>
      <c r="G6" t="str">
        <v/>
      </c>
    </row>
    <row r="7">
      <c r="A7" t="str">
        <v>Use decimals (0.5, 1.5, 2.5) for partial implementation</v>
      </c>
      <c r="B7" t="str">
        <v/>
      </c>
      <c r="C7" t="str">
        <v/>
      </c>
      <c r="D7" t="str">
        <v/>
      </c>
      <c r="E7" t="str">
        <v/>
      </c>
      <c r="F7" t="str">
        <v/>
      </c>
      <c r="G7" t="str">
        <v/>
      </c>
    </row>
    <row r="8">
      <c r="A8" t="str">
        <v/>
      </c>
      <c r="B8" t="str">
        <v/>
      </c>
      <c r="C8" t="str">
        <v/>
      </c>
      <c r="D8" t="str">
        <v/>
      </c>
      <c r="E8" t="str">
        <v/>
      </c>
      <c r="F8" t="str">
        <v/>
      </c>
      <c r="G8" t="str">
        <v/>
      </c>
    </row>
    <row r="9">
      <c r="A9" t="str">
        <v>FUNCTION</v>
      </c>
      <c r="B9" t="str">
        <v>PRACTICE</v>
      </c>
      <c r="C9" t="str">
        <v>SCORE (0-3)</v>
      </c>
      <c r="D9" t="str">
        <v>TARGET</v>
      </c>
      <c r="E9" t="str">
        <v>GAP</v>
      </c>
      <c r="F9" t="str">
        <v>PRIORITY (H/M/L)</v>
      </c>
      <c r="G9" t="str">
        <v>NOTES</v>
      </c>
    </row>
    <row r="10">
      <c r="A10" t="str">
        <v/>
      </c>
      <c r="B10" t="str">
        <v/>
      </c>
      <c r="C10" t="str">
        <v/>
      </c>
      <c r="D10" t="str">
        <v/>
      </c>
      <c r="E10" t="str">
        <v/>
      </c>
      <c r="F10" t="str">
        <v/>
      </c>
      <c r="G10" t="str">
        <v/>
      </c>
    </row>
    <row r="11">
      <c r="A11" t="str">
        <v>GOVERNANCE</v>
      </c>
      <c r="B11" t="str">
        <v/>
      </c>
      <c r="C11">
        <f>AVERAGE(C12:C14)</f>
      </c>
      <c r="D11">
        <f>AVERAGE(D12:D14)</f>
      </c>
      <c r="E11">
        <f>D11-C11</f>
      </c>
      <c r="F11" t="str">
        <v/>
      </c>
      <c r="G11" t="str">
        <v/>
      </c>
    </row>
    <row r="12">
      <c r="A12" t="str">
        <v/>
      </c>
      <c r="B12" t="str">
        <v>Strategy &amp; Metrics</v>
      </c>
      <c r="C12">
        <v>0</v>
      </c>
      <c r="D12">
        <v>1.5</v>
      </c>
      <c r="E12">
        <f>D12-C12</f>
      </c>
      <c r="F12" t="str">
        <v/>
      </c>
      <c r="G12" t="str">
        <v/>
      </c>
    </row>
    <row r="13">
      <c r="A13" t="str">
        <v/>
      </c>
      <c r="B13" t="str">
        <v>Policy &amp; Compliance</v>
      </c>
      <c r="C13">
        <v>0</v>
      </c>
      <c r="D13">
        <v>1.5</v>
      </c>
      <c r="E13">
        <f>D13-C13</f>
      </c>
      <c r="F13" t="str">
        <v/>
      </c>
      <c r="G13" t="str">
        <v/>
      </c>
    </row>
    <row r="14">
      <c r="A14" t="str">
        <v/>
      </c>
      <c r="B14" t="str">
        <v>Education &amp; Guidance</v>
      </c>
      <c r="C14">
        <v>0</v>
      </c>
      <c r="D14">
        <v>1.5</v>
      </c>
      <c r="E14">
        <f>D14-C14</f>
      </c>
      <c r="F14" t="str">
        <v/>
      </c>
      <c r="G14" t="str">
        <v/>
      </c>
    </row>
    <row r="15">
      <c r="A15" t="str">
        <v/>
      </c>
      <c r="B15" t="str">
        <v/>
      </c>
      <c r="C15" t="str">
        <v/>
      </c>
      <c r="D15" t="str">
        <v/>
      </c>
      <c r="E15" t="str">
        <v/>
      </c>
      <c r="F15" t="str">
        <v/>
      </c>
      <c r="G15" t="str">
        <v/>
      </c>
    </row>
    <row r="16">
      <c r="A16" t="str">
        <v>DESIGN</v>
      </c>
      <c r="B16" t="str">
        <v/>
      </c>
      <c r="C16">
        <f>AVERAGE(C17:C19)</f>
      </c>
      <c r="D16">
        <f>AVERAGE(D17:D19)</f>
      </c>
      <c r="E16">
        <f>D16-C16</f>
      </c>
      <c r="F16" t="str">
        <v/>
      </c>
      <c r="G16" t="str">
        <v/>
      </c>
    </row>
    <row r="17">
      <c r="A17" t="str">
        <v/>
      </c>
      <c r="B17" t="str">
        <v>Threat Assessment</v>
      </c>
      <c r="C17">
        <v>0</v>
      </c>
      <c r="D17">
        <v>1.5</v>
      </c>
      <c r="E17">
        <f>D17-C17</f>
      </c>
      <c r="F17" t="str">
        <v/>
      </c>
      <c r="G17" t="str">
        <v/>
      </c>
    </row>
    <row r="18">
      <c r="A18" t="str">
        <v/>
      </c>
      <c r="B18" t="str">
        <v>Security Requirements</v>
      </c>
      <c r="C18">
        <v>0</v>
      </c>
      <c r="D18">
        <v>1.5</v>
      </c>
      <c r="E18">
        <f>D18-C18</f>
      </c>
      <c r="F18" t="str">
        <v/>
      </c>
      <c r="G18" t="str">
        <v/>
      </c>
    </row>
    <row r="19">
      <c r="A19" t="str">
        <v/>
      </c>
      <c r="B19" t="str">
        <v>Security Architecture</v>
      </c>
      <c r="C19">
        <v>0</v>
      </c>
      <c r="D19">
        <v>1.5</v>
      </c>
      <c r="E19">
        <f>D19-C19</f>
      </c>
      <c r="F19" t="str">
        <v/>
      </c>
      <c r="G19" t="str">
        <v/>
      </c>
    </row>
    <row r="20">
      <c r="A20" t="str">
        <v/>
      </c>
      <c r="B20" t="str">
        <v/>
      </c>
      <c r="C20" t="str">
        <v/>
      </c>
      <c r="D20" t="str">
        <v/>
      </c>
      <c r="E20" t="str">
        <v/>
      </c>
      <c r="F20" t="str">
        <v/>
      </c>
      <c r="G20" t="str">
        <v/>
      </c>
    </row>
    <row r="21">
      <c r="A21" t="str">
        <v>IMPLEMENTATION</v>
      </c>
      <c r="B21" t="str">
        <v/>
      </c>
      <c r="C21">
        <f>AVERAGE(C22:C24)</f>
      </c>
      <c r="D21">
        <f>AVERAGE(D22:D24)</f>
      </c>
      <c r="E21">
        <f>D21-C21</f>
      </c>
      <c r="F21" t="str">
        <v/>
      </c>
      <c r="G21" t="str">
        <v/>
      </c>
    </row>
    <row r="22">
      <c r="A22" t="str">
        <v/>
      </c>
      <c r="B22" t="str">
        <v>Secure Build</v>
      </c>
      <c r="C22">
        <v>0</v>
      </c>
      <c r="D22">
        <v>2</v>
      </c>
      <c r="E22">
        <f>D22-C22</f>
      </c>
      <c r="F22" t="str">
        <v/>
      </c>
      <c r="G22" t="str">
        <v/>
      </c>
    </row>
    <row r="23">
      <c r="A23" t="str">
        <v/>
      </c>
      <c r="B23" t="str">
        <v>Secure Deployment</v>
      </c>
      <c r="C23">
        <v>0</v>
      </c>
      <c r="D23">
        <v>2</v>
      </c>
      <c r="E23">
        <f>D23-C23</f>
      </c>
      <c r="F23" t="str">
        <v/>
      </c>
      <c r="G23" t="str">
        <v/>
      </c>
    </row>
    <row r="24">
      <c r="A24" t="str">
        <v/>
      </c>
      <c r="B24" t="str">
        <v>Defect Management</v>
      </c>
      <c r="C24">
        <v>0</v>
      </c>
      <c r="D24">
        <v>1.5</v>
      </c>
      <c r="E24">
        <f>D24-C24</f>
      </c>
      <c r="F24" t="str">
        <v/>
      </c>
      <c r="G24" t="str">
        <v/>
      </c>
    </row>
    <row r="25">
      <c r="A25" t="str">
        <v/>
      </c>
      <c r="B25" t="str">
        <v/>
      </c>
      <c r="C25" t="str">
        <v/>
      </c>
      <c r="D25" t="str">
        <v/>
      </c>
      <c r="E25" t="str">
        <v/>
      </c>
      <c r="F25" t="str">
        <v/>
      </c>
      <c r="G25" t="str">
        <v/>
      </c>
    </row>
    <row r="26">
      <c r="A26" t="str">
        <v>VERIFICATION</v>
      </c>
      <c r="B26" t="str">
        <v/>
      </c>
      <c r="C26">
        <f>AVERAGE(C27:C29)</f>
      </c>
      <c r="D26">
        <f>AVERAGE(D27:D29)</f>
      </c>
      <c r="E26">
        <f>D26-C26</f>
      </c>
      <c r="F26" t="str">
        <v/>
      </c>
      <c r="G26" t="str">
        <v/>
      </c>
    </row>
    <row r="27">
      <c r="A27" t="str">
        <v/>
      </c>
      <c r="B27" t="str">
        <v>Architecture Assessment</v>
      </c>
      <c r="C27">
        <v>0</v>
      </c>
      <c r="D27">
        <v>1.5</v>
      </c>
      <c r="E27">
        <f>D27-C27</f>
      </c>
      <c r="F27" t="str">
        <v/>
      </c>
      <c r="G27" t="str">
        <v/>
      </c>
    </row>
    <row r="28">
      <c r="A28" t="str">
        <v/>
      </c>
      <c r="B28" t="str">
        <v>Requirements Testing</v>
      </c>
      <c r="C28">
        <v>0</v>
      </c>
      <c r="D28">
        <v>1.5</v>
      </c>
      <c r="E28">
        <f>D28-C28</f>
      </c>
      <c r="F28" t="str">
        <v/>
      </c>
      <c r="G28" t="str">
        <v/>
      </c>
    </row>
    <row r="29">
      <c r="A29" t="str">
        <v/>
      </c>
      <c r="B29" t="str">
        <v>Security Testing</v>
      </c>
      <c r="C29">
        <v>0</v>
      </c>
      <c r="D29">
        <v>2</v>
      </c>
      <c r="E29">
        <f>D29-C29</f>
      </c>
      <c r="F29" t="str">
        <v/>
      </c>
      <c r="G29" t="str">
        <v/>
      </c>
    </row>
    <row r="30">
      <c r="A30" t="str">
        <v/>
      </c>
      <c r="B30" t="str">
        <v/>
      </c>
      <c r="C30" t="str">
        <v/>
      </c>
      <c r="D30" t="str">
        <v/>
      </c>
      <c r="E30" t="str">
        <v/>
      </c>
      <c r="F30" t="str">
        <v/>
      </c>
      <c r="G30" t="str">
        <v/>
      </c>
    </row>
    <row r="31">
      <c r="A31" t="str">
        <v>OPERATIONS</v>
      </c>
      <c r="B31" t="str">
        <v/>
      </c>
      <c r="C31">
        <f>AVERAGE(C32:C34)</f>
      </c>
      <c r="D31">
        <f>AVERAGE(D32:D34)</f>
      </c>
      <c r="E31">
        <f>D31-C31</f>
      </c>
      <c r="F31" t="str">
        <v/>
      </c>
      <c r="G31" t="str">
        <v/>
      </c>
    </row>
    <row r="32">
      <c r="A32" t="str">
        <v/>
      </c>
      <c r="B32" t="str">
        <v>Incident Management</v>
      </c>
      <c r="C32">
        <v>0</v>
      </c>
      <c r="D32">
        <v>1.5</v>
      </c>
      <c r="E32">
        <f>D32-C32</f>
      </c>
      <c r="F32" t="str">
        <v/>
      </c>
      <c r="G32" t="str">
        <v/>
      </c>
    </row>
    <row r="33">
      <c r="A33" t="str">
        <v/>
      </c>
      <c r="B33" t="str">
        <v>Environment Management</v>
      </c>
      <c r="C33">
        <v>0</v>
      </c>
      <c r="D33">
        <v>1.5</v>
      </c>
      <c r="E33">
        <f>D33-C33</f>
      </c>
      <c r="F33" t="str">
        <v/>
      </c>
      <c r="G33" t="str">
        <v/>
      </c>
    </row>
    <row r="34">
      <c r="A34" t="str">
        <v/>
      </c>
      <c r="B34" t="str">
        <v>Operational Management</v>
      </c>
      <c r="C34">
        <v>0</v>
      </c>
      <c r="D34">
        <v>1.5</v>
      </c>
      <c r="E34">
        <f>D34-C34</f>
      </c>
      <c r="F34" t="str">
        <v/>
      </c>
      <c r="G34" t="str">
        <v/>
      </c>
    </row>
    <row r="35">
      <c r="A35" t="str">
        <v/>
      </c>
      <c r="B35" t="str">
        <v/>
      </c>
      <c r="C35" t="str">
        <v/>
      </c>
      <c r="D35" t="str">
        <v/>
      </c>
      <c r="E35" t="str">
        <v/>
      </c>
      <c r="F35" t="str">
        <v/>
      </c>
      <c r="G35" t="str">
        <v/>
      </c>
    </row>
    <row r="36">
      <c r="A36" t="str">
        <v/>
      </c>
      <c r="B36" t="str">
        <v/>
      </c>
      <c r="C36" t="str">
        <v/>
      </c>
      <c r="D36" t="str">
        <v/>
      </c>
      <c r="E36" t="str">
        <v/>
      </c>
      <c r="F36" t="str">
        <v/>
      </c>
      <c r="G36" t="str">
        <v/>
      </c>
    </row>
    <row r="37">
      <c r="A37" t="str">
        <v>OVERALL MATURITY</v>
      </c>
      <c r="B37" t="str">
        <v/>
      </c>
      <c r="C37">
        <f>AVERAGE(C11,C16,C21,C26,C31)</f>
      </c>
      <c r="D37">
        <f>AVERAGE(D11,D16,D21,D26,D31)</f>
      </c>
      <c r="E37">
        <f>D37-C37</f>
      </c>
      <c r="F37" t="str">
        <v/>
      </c>
      <c r="G37" t="str">
        <v/>
      </c>
    </row>
  </sheetData>
  <ignoredErrors>
    <ignoredError numberStoredAsText="1" sqref="A1:G3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30"/>
  <sheetViews>
    <sheetView workbookViewId="0"/>
  </sheetViews>
  <cols>
    <col min="1" max="1" width="8.83203125" customWidth="1"/>
    <col min="2" max="2" width="24.83203125" customWidth="1"/>
    <col min="3" max="3" width="14.83203125" customWidth="1"/>
    <col min="4" max="4" width="36.83203125" customWidth="1"/>
    <col min="5" max="5" width="20.83203125" customWidth="1"/>
    <col min="6" max="6" width="12.83203125" customWidth="1"/>
  </cols>
  <sheetData>
    <row r="1">
      <c r="A1" t="str">
        <v>EVIDENCE TRACKER</v>
      </c>
      <c r="B1" t="str">
        <v/>
      </c>
      <c r="C1" t="str">
        <v/>
      </c>
      <c r="D1" t="str">
        <v/>
      </c>
      <c r="E1" t="str">
        <v/>
      </c>
      <c r="F1" t="str">
        <v/>
      </c>
    </row>
    <row r="2">
      <c r="A2" t="str">
        <v/>
      </c>
      <c r="B2" t="str">
        <v/>
      </c>
      <c r="C2" t="str">
        <v/>
      </c>
      <c r="D2" t="str">
        <v/>
      </c>
      <c r="E2" t="str">
        <v/>
      </c>
      <c r="F2" t="str">
        <v/>
      </c>
    </row>
    <row r="3">
      <c r="A3" t="str">
        <v>ID</v>
      </c>
      <c r="B3" t="str">
        <v>PRACTICE</v>
      </c>
      <c r="C3" t="str">
        <v>EVIDENCE TYPE</v>
      </c>
      <c r="D3" t="str">
        <v>DESCRIPTION</v>
      </c>
      <c r="E3" t="str">
        <v>SOURCE</v>
      </c>
      <c r="F3" t="str">
        <v>STATUS</v>
      </c>
    </row>
    <row r="4">
      <c r="A4" t="str">
        <v/>
      </c>
      <c r="B4" t="str">
        <v/>
      </c>
      <c r="C4" t="str">
        <v/>
      </c>
      <c r="D4" t="str">
        <v/>
      </c>
      <c r="E4" t="str">
        <v/>
      </c>
      <c r="F4" t="str">
        <v/>
      </c>
    </row>
    <row r="5">
      <c r="A5" t="str">
        <v>E001</v>
      </c>
      <c r="B5" t="str">
        <v>Strategy &amp; Metrics</v>
      </c>
      <c r="C5" t="str">
        <v>Document</v>
      </c>
      <c r="D5" t="str">
        <v>Security strategy document</v>
      </c>
      <c r="E5" t="str">
        <v/>
      </c>
      <c r="F5" t="str">
        <v>Requested</v>
      </c>
    </row>
    <row r="6">
      <c r="A6" t="str">
        <v>E002</v>
      </c>
      <c r="B6" t="str">
        <v>Strategy &amp; Metrics</v>
      </c>
      <c r="C6" t="str">
        <v>Dashboard</v>
      </c>
      <c r="D6" t="str">
        <v>Security metrics dashboard</v>
      </c>
      <c r="E6" t="str">
        <v/>
      </c>
      <c r="F6" t="str">
        <v>Requested</v>
      </c>
    </row>
    <row r="7">
      <c r="A7" t="str">
        <v>E003</v>
      </c>
      <c r="B7" t="str">
        <v>Policy &amp; Compliance</v>
      </c>
      <c r="C7" t="str">
        <v>Document</v>
      </c>
      <c r="D7" t="str">
        <v>Secure coding policy</v>
      </c>
      <c r="E7" t="str">
        <v/>
      </c>
      <c r="F7" t="str">
        <v>Requested</v>
      </c>
    </row>
    <row r="8">
      <c r="A8" t="str">
        <v>E004</v>
      </c>
      <c r="B8" t="str">
        <v>Policy &amp; Compliance</v>
      </c>
      <c r="C8" t="str">
        <v>Report</v>
      </c>
      <c r="D8" t="str">
        <v>Compliance audit report</v>
      </c>
      <c r="E8" t="str">
        <v/>
      </c>
      <c r="F8" t="str">
        <v>Requested</v>
      </c>
    </row>
    <row r="9">
      <c r="A9" t="str">
        <v>E005</v>
      </c>
      <c r="B9" t="str">
        <v>Education &amp; Guidance</v>
      </c>
      <c r="C9" t="str">
        <v>Records</v>
      </c>
      <c r="D9" t="str">
        <v>Training completion records</v>
      </c>
      <c r="E9" t="str">
        <v/>
      </c>
      <c r="F9" t="str">
        <v>Requested</v>
      </c>
    </row>
    <row r="10">
      <c r="A10" t="str">
        <v>E006</v>
      </c>
      <c r="B10" t="str">
        <v>Education &amp; Guidance</v>
      </c>
      <c r="C10" t="str">
        <v>Document</v>
      </c>
      <c r="D10" t="str">
        <v>Security champions roster</v>
      </c>
      <c r="E10" t="str">
        <v/>
      </c>
      <c r="F10" t="str">
        <v>Requested</v>
      </c>
    </row>
    <row r="11">
      <c r="A11" t="str">
        <v>E007</v>
      </c>
      <c r="B11" t="str">
        <v>Threat Assessment</v>
      </c>
      <c r="C11" t="str">
        <v>Document</v>
      </c>
      <c r="D11" t="str">
        <v>Threat model examples</v>
      </c>
      <c r="E11" t="str">
        <v/>
      </c>
      <c r="F11" t="str">
        <v>Requested</v>
      </c>
    </row>
    <row r="12">
      <c r="A12" t="str">
        <v>E008</v>
      </c>
      <c r="B12" t="str">
        <v>Security Requirements</v>
      </c>
      <c r="C12" t="str">
        <v>Tickets</v>
      </c>
      <c r="D12" t="str">
        <v>User stories with security reqs</v>
      </c>
      <c r="E12" t="str">
        <v/>
      </c>
      <c r="F12" t="str">
        <v>Requested</v>
      </c>
    </row>
    <row r="13">
      <c r="A13" t="str">
        <v>E009</v>
      </c>
      <c r="B13" t="str">
        <v>Security Architecture</v>
      </c>
      <c r="C13" t="str">
        <v>Document</v>
      </c>
      <c r="D13" t="str">
        <v>Architecture standards</v>
      </c>
      <c r="E13" t="str">
        <v/>
      </c>
      <c r="F13" t="str">
        <v>Requested</v>
      </c>
    </row>
    <row r="14">
      <c r="A14" t="str">
        <v>E010</v>
      </c>
      <c r="B14" t="str">
        <v>Secure Build</v>
      </c>
      <c r="C14" t="str">
        <v>Config</v>
      </c>
      <c r="D14" t="str">
        <v>CI/CD pipeline configuration</v>
      </c>
      <c r="E14" t="str">
        <v/>
      </c>
      <c r="F14" t="str">
        <v>Requested</v>
      </c>
    </row>
    <row r="15">
      <c r="A15" t="str">
        <v>E011</v>
      </c>
      <c r="B15" t="str">
        <v>Secure Build</v>
      </c>
      <c r="C15" t="str">
        <v>Report</v>
      </c>
      <c r="D15" t="str">
        <v>SAST scan results</v>
      </c>
      <c r="E15" t="str">
        <v/>
      </c>
      <c r="F15" t="str">
        <v>Requested</v>
      </c>
    </row>
    <row r="16">
      <c r="A16" t="str">
        <v>E012</v>
      </c>
      <c r="B16" t="str">
        <v>Secure Build</v>
      </c>
      <c r="C16" t="str">
        <v>Report</v>
      </c>
      <c r="D16" t="str">
        <v>SCA/dependency scan results</v>
      </c>
      <c r="E16" t="str">
        <v/>
      </c>
      <c r="F16" t="str">
        <v>Requested</v>
      </c>
    </row>
    <row r="17">
      <c r="A17" t="str">
        <v>E013</v>
      </c>
      <c r="B17" t="str">
        <v>Secure Deployment</v>
      </c>
      <c r="C17" t="str">
        <v>Config</v>
      </c>
      <c r="D17" t="str">
        <v>Secrets management setup</v>
      </c>
      <c r="E17" t="str">
        <v/>
      </c>
      <c r="F17" t="str">
        <v>Requested</v>
      </c>
    </row>
    <row r="18">
      <c r="A18" t="str">
        <v>E014</v>
      </c>
      <c r="B18" t="str">
        <v>Secure Deployment</v>
      </c>
      <c r="C18" t="str">
        <v>Config</v>
      </c>
      <c r="D18" t="str">
        <v>IaC templates</v>
      </c>
      <c r="E18" t="str">
        <v/>
      </c>
      <c r="F18" t="str">
        <v>Requested</v>
      </c>
    </row>
    <row r="19">
      <c r="A19" t="str">
        <v>E015</v>
      </c>
      <c r="B19" t="str">
        <v>Defect Management</v>
      </c>
      <c r="C19" t="str">
        <v>Export</v>
      </c>
      <c r="D19" t="str">
        <v>Security bug tracker export</v>
      </c>
      <c r="E19" t="str">
        <v/>
      </c>
      <c r="F19" t="str">
        <v>Requested</v>
      </c>
    </row>
    <row r="20">
      <c r="A20" t="str">
        <v>E016</v>
      </c>
      <c r="B20" t="str">
        <v>Defect Management</v>
      </c>
      <c r="C20" t="str">
        <v>Document</v>
      </c>
      <c r="D20" t="str">
        <v>Remediation SLAs</v>
      </c>
      <c r="E20" t="str">
        <v/>
      </c>
      <c r="F20" t="str">
        <v>Requested</v>
      </c>
    </row>
    <row r="21">
      <c r="A21" t="str">
        <v>E017</v>
      </c>
      <c r="B21" t="str">
        <v>Architecture Assessment</v>
      </c>
      <c r="C21" t="str">
        <v>Document</v>
      </c>
      <c r="D21" t="str">
        <v>Review checklist/records</v>
      </c>
      <c r="E21" t="str">
        <v/>
      </c>
      <c r="F21" t="str">
        <v>Requested</v>
      </c>
    </row>
    <row r="22">
      <c r="A22" t="str">
        <v>E018</v>
      </c>
      <c r="B22" t="str">
        <v>Requirements Testing</v>
      </c>
      <c r="C22" t="str">
        <v>Report</v>
      </c>
      <c r="D22" t="str">
        <v>Security test coverage</v>
      </c>
      <c r="E22" t="str">
        <v/>
      </c>
      <c r="F22" t="str">
        <v>Requested</v>
      </c>
    </row>
    <row r="23">
      <c r="A23" t="str">
        <v>E019</v>
      </c>
      <c r="B23" t="str">
        <v>Security Testing</v>
      </c>
      <c r="C23" t="str">
        <v>Report</v>
      </c>
      <c r="D23" t="str">
        <v>DAST scan results</v>
      </c>
      <c r="E23" t="str">
        <v/>
      </c>
      <c r="F23" t="str">
        <v>Requested</v>
      </c>
    </row>
    <row r="24">
      <c r="A24" t="str">
        <v>E020</v>
      </c>
      <c r="B24" t="str">
        <v>Security Testing</v>
      </c>
      <c r="C24" t="str">
        <v>Report</v>
      </c>
      <c r="D24" t="str">
        <v>Penetration test report</v>
      </c>
      <c r="E24" t="str">
        <v/>
      </c>
      <c r="F24" t="str">
        <v>Requested</v>
      </c>
    </row>
    <row r="25">
      <c r="A25" t="str">
        <v>E021</v>
      </c>
      <c r="B25" t="str">
        <v>Incident Management</v>
      </c>
      <c r="C25" t="str">
        <v>Document</v>
      </c>
      <c r="D25" t="str">
        <v>IR plan and playbooks</v>
      </c>
      <c r="E25" t="str">
        <v/>
      </c>
      <c r="F25" t="str">
        <v>Requested</v>
      </c>
    </row>
    <row r="26">
      <c r="A26" t="str">
        <v>E022</v>
      </c>
      <c r="B26" t="str">
        <v>Incident Management</v>
      </c>
      <c r="C26" t="str">
        <v>Records</v>
      </c>
      <c r="D26" t="str">
        <v>IR drill records</v>
      </c>
      <c r="E26" t="str">
        <v/>
      </c>
      <c r="F26" t="str">
        <v>Requested</v>
      </c>
    </row>
    <row r="27">
      <c r="A27" t="str">
        <v>E023</v>
      </c>
      <c r="B27" t="str">
        <v>Environment Management</v>
      </c>
      <c r="C27" t="str">
        <v>Document</v>
      </c>
      <c r="D27" t="str">
        <v>Hardening standards</v>
      </c>
      <c r="E27" t="str">
        <v/>
      </c>
      <c r="F27" t="str">
        <v>Requested</v>
      </c>
    </row>
    <row r="28">
      <c r="A28" t="str">
        <v>E024</v>
      </c>
      <c r="B28" t="str">
        <v>Environment Management</v>
      </c>
      <c r="C28" t="str">
        <v>Report</v>
      </c>
      <c r="D28" t="str">
        <v>Patch compliance report</v>
      </c>
      <c r="E28" t="str">
        <v/>
      </c>
      <c r="F28" t="str">
        <v>Requested</v>
      </c>
    </row>
    <row r="29">
      <c r="A29" t="str">
        <v>E025</v>
      </c>
      <c r="B29" t="str">
        <v>Operational Management</v>
      </c>
      <c r="C29" t="str">
        <v>Config</v>
      </c>
      <c r="D29" t="str">
        <v>SIEM/logging configuration</v>
      </c>
      <c r="E29" t="str">
        <v/>
      </c>
      <c r="F29" t="str">
        <v>Requested</v>
      </c>
    </row>
    <row r="30">
      <c r="A30" t="str">
        <v>E026</v>
      </c>
      <c r="B30" t="str">
        <v>Operational Management</v>
      </c>
      <c r="C30" t="str">
        <v>Records</v>
      </c>
      <c r="D30" t="str">
        <v>Access review records</v>
      </c>
      <c r="E30" t="str">
        <v/>
      </c>
      <c r="F30" t="str">
        <v>Requested</v>
      </c>
    </row>
  </sheetData>
  <ignoredErrors>
    <ignoredError numberStoredAsText="1" sqref="A1:F3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H19"/>
  <sheetViews>
    <sheetView workbookViewId="0"/>
  </sheetViews>
  <cols>
    <col min="1" max="1" width="8.83203125" customWidth="1"/>
    <col min="2" max="2" width="16.83203125" customWidth="1"/>
    <col min="3" max="3" width="40.83203125" customWidth="1"/>
    <col min="4" max="4" width="12.83203125" customWidth="1"/>
    <col min="5" max="5" width="10.83203125" customWidth="1"/>
    <col min="6" max="6" width="40.83203125" customWidth="1"/>
    <col min="7" max="7" width="10.83203125" customWidth="1"/>
    <col min="8" max="8" width="8.83203125" customWidth="1"/>
  </cols>
  <sheetData>
    <row r="1">
      <c r="A1" t="str">
        <v>FINDINGS LOG</v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</row>
    <row r="2">
      <c r="A2" t="str">
        <v/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</row>
    <row r="3">
      <c r="A3" t="str">
        <v>ID</v>
      </c>
      <c r="B3" t="str">
        <v>FUNCTION</v>
      </c>
      <c r="C3" t="str">
        <v>FINDING</v>
      </c>
      <c r="D3" t="str">
        <v>TYPE</v>
      </c>
      <c r="E3" t="str">
        <v>SEVERITY</v>
      </c>
      <c r="F3" t="str">
        <v>RECOMMENDATION</v>
      </c>
      <c r="G3" t="str">
        <v>EFFORT</v>
      </c>
      <c r="H3" t="str">
        <v>PHASE</v>
      </c>
    </row>
    <row r="4">
      <c r="A4" t="str">
        <v/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</row>
    <row r="5">
      <c r="A5" t="str">
        <v>F001</v>
      </c>
      <c r="B5" t="str">
        <v/>
      </c>
      <c r="C5" t="str">
        <v/>
      </c>
      <c r="D5" t="str">
        <v>Gap</v>
      </c>
      <c r="E5" t="str">
        <v/>
      </c>
      <c r="F5" t="str">
        <v/>
      </c>
      <c r="G5" t="str">
        <v/>
      </c>
      <c r="H5" t="str">
        <v/>
      </c>
    </row>
    <row r="6">
      <c r="A6" t="str">
        <v>F002</v>
      </c>
      <c r="B6" t="str">
        <v/>
      </c>
      <c r="C6" t="str">
        <v/>
      </c>
      <c r="D6" t="str">
        <v>Gap</v>
      </c>
      <c r="E6" t="str">
        <v/>
      </c>
      <c r="F6" t="str">
        <v/>
      </c>
      <c r="G6" t="str">
        <v/>
      </c>
      <c r="H6" t="str">
        <v/>
      </c>
    </row>
    <row r="7">
      <c r="A7" t="str">
        <v>F003</v>
      </c>
      <c r="B7" t="str">
        <v/>
      </c>
      <c r="C7" t="str">
        <v/>
      </c>
      <c r="D7" t="str">
        <v>Gap</v>
      </c>
      <c r="E7" t="str">
        <v/>
      </c>
      <c r="F7" t="str">
        <v/>
      </c>
      <c r="G7" t="str">
        <v/>
      </c>
      <c r="H7" t="str">
        <v/>
      </c>
    </row>
    <row r="8">
      <c r="A8" t="str">
        <v>F004</v>
      </c>
      <c r="B8" t="str">
        <v/>
      </c>
      <c r="C8" t="str">
        <v/>
      </c>
      <c r="D8" t="str">
        <v>Gap</v>
      </c>
      <c r="E8" t="str">
        <v/>
      </c>
      <c r="F8" t="str">
        <v/>
      </c>
      <c r="G8" t="str">
        <v/>
      </c>
      <c r="H8" t="str">
        <v/>
      </c>
    </row>
    <row r="9">
      <c r="A9" t="str">
        <v>F005</v>
      </c>
      <c r="B9" t="str">
        <v/>
      </c>
      <c r="C9" t="str">
        <v/>
      </c>
      <c r="D9" t="str">
        <v>Strength</v>
      </c>
      <c r="E9" t="str">
        <v/>
      </c>
      <c r="F9" t="str">
        <v/>
      </c>
      <c r="G9" t="str">
        <v/>
      </c>
      <c r="H9" t="str">
        <v/>
      </c>
    </row>
    <row r="10">
      <c r="A10" t="str">
        <v>F006</v>
      </c>
      <c r="B10" t="str">
        <v/>
      </c>
      <c r="C10" t="str">
        <v/>
      </c>
      <c r="D10" t="str">
        <v>Strength</v>
      </c>
      <c r="E10" t="str">
        <v/>
      </c>
      <c r="F10" t="str">
        <v/>
      </c>
      <c r="G10" t="str">
        <v/>
      </c>
      <c r="H10" t="str">
        <v/>
      </c>
    </row>
    <row r="11">
      <c r="A11" t="str">
        <v>F007</v>
      </c>
      <c r="B11" t="str">
        <v/>
      </c>
      <c r="C11" t="str">
        <v/>
      </c>
      <c r="D11" t="str">
        <v>Gap</v>
      </c>
      <c r="E11" t="str">
        <v/>
      </c>
      <c r="F11" t="str">
        <v/>
      </c>
      <c r="G11" t="str">
        <v/>
      </c>
      <c r="H11" t="str">
        <v/>
      </c>
    </row>
    <row r="12">
      <c r="A12" t="str">
        <v>F008</v>
      </c>
      <c r="B12" t="str">
        <v/>
      </c>
      <c r="C12" t="str">
        <v/>
      </c>
      <c r="D12" t="str">
        <v>Gap</v>
      </c>
      <c r="E12" t="str">
        <v/>
      </c>
      <c r="F12" t="str">
        <v/>
      </c>
      <c r="G12" t="str">
        <v/>
      </c>
      <c r="H12" t="str">
        <v/>
      </c>
    </row>
    <row r="13">
      <c r="A13" t="str">
        <v>F009</v>
      </c>
      <c r="B13" t="str">
        <v/>
      </c>
      <c r="C13" t="str">
        <v/>
      </c>
      <c r="D13" t="str">
        <v>Gap</v>
      </c>
      <c r="E13" t="str">
        <v/>
      </c>
      <c r="F13" t="str">
        <v/>
      </c>
      <c r="G13" t="str">
        <v/>
      </c>
      <c r="H13" t="str">
        <v/>
      </c>
    </row>
    <row r="14">
      <c r="A14" t="str">
        <v>F010</v>
      </c>
      <c r="B14" t="str">
        <v/>
      </c>
      <c r="C14" t="str">
        <v/>
      </c>
      <c r="D14" t="str">
        <v>Gap</v>
      </c>
      <c r="E14" t="str">
        <v/>
      </c>
      <c r="F14" t="str">
        <v/>
      </c>
      <c r="G14" t="str">
        <v/>
      </c>
      <c r="H14" t="str">
        <v/>
      </c>
    </row>
    <row r="15">
      <c r="A15" t="str">
        <v>F011</v>
      </c>
      <c r="B15" t="str">
        <v/>
      </c>
      <c r="C15" t="str">
        <v/>
      </c>
      <c r="D15" t="str">
        <v>Quick Win</v>
      </c>
      <c r="E15" t="str">
        <v/>
      </c>
      <c r="F15" t="str">
        <v/>
      </c>
      <c r="G15" t="str">
        <v/>
      </c>
      <c r="H15" t="str">
        <v/>
      </c>
    </row>
    <row r="16">
      <c r="A16" t="str">
        <v>F012</v>
      </c>
      <c r="B16" t="str">
        <v/>
      </c>
      <c r="C16" t="str">
        <v/>
      </c>
      <c r="D16" t="str">
        <v>Quick Win</v>
      </c>
      <c r="E16" t="str">
        <v/>
      </c>
      <c r="F16" t="str">
        <v/>
      </c>
      <c r="G16" t="str">
        <v/>
      </c>
      <c r="H16" t="str">
        <v/>
      </c>
    </row>
    <row r="17">
      <c r="A17" t="str">
        <v>F013</v>
      </c>
      <c r="B17" t="str">
        <v/>
      </c>
      <c r="C17" t="str">
        <v/>
      </c>
      <c r="D17" t="str">
        <v>Quick Win</v>
      </c>
      <c r="E17" t="str">
        <v/>
      </c>
      <c r="F17" t="str">
        <v/>
      </c>
      <c r="G17" t="str">
        <v/>
      </c>
      <c r="H17" t="str">
        <v/>
      </c>
    </row>
    <row r="18">
      <c r="A18" t="str">
        <v>F014</v>
      </c>
      <c r="B18" t="str">
        <v/>
      </c>
      <c r="C18" t="str">
        <v/>
      </c>
      <c r="D18" t="str">
        <v>Risk</v>
      </c>
      <c r="E18" t="str">
        <v/>
      </c>
      <c r="F18" t="str">
        <v/>
      </c>
      <c r="G18" t="str">
        <v/>
      </c>
      <c r="H18" t="str">
        <v/>
      </c>
    </row>
    <row r="19">
      <c r="A19" t="str">
        <v>F015</v>
      </c>
      <c r="B19" t="str">
        <v/>
      </c>
      <c r="C19" t="str">
        <v/>
      </c>
      <c r="D19" t="str">
        <v>Risk</v>
      </c>
      <c r="E19" t="str">
        <v/>
      </c>
      <c r="F19" t="str">
        <v/>
      </c>
      <c r="G19" t="str">
        <v/>
      </c>
      <c r="H19" t="str">
        <v/>
      </c>
    </row>
  </sheetData>
  <ignoredErrors>
    <ignoredError numberStoredAsText="1" sqref="A1:H19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I28"/>
  <sheetViews>
    <sheetView workbookViewId="0"/>
  </sheetViews>
  <cols>
    <col min="1" max="1" width="6.83203125" customWidth="1"/>
    <col min="2" max="2" width="36.83203125" customWidth="1"/>
    <col min="3" max="3" width="16.83203125" customWidth="1"/>
    <col min="4" max="4" width="12.83203125" customWidth="1"/>
    <col min="5" max="5" width="14.83203125" customWidth="1"/>
    <col min="6" max="6" width="6.83203125" customWidth="1"/>
    <col min="7" max="7" width="6.83203125" customWidth="1"/>
    <col min="8" max="8" width="8.83203125" customWidth="1"/>
    <col min="9" max="9" width="30.83203125" customWidth="1"/>
  </cols>
  <sheetData>
    <row r="1">
      <c r="A1" t="str">
        <v>ROADMAP BUILDER</v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  <c r="I1" t="str">
        <v/>
      </c>
    </row>
    <row r="2">
      <c r="A2" t="str">
        <v/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</row>
    <row r="3">
      <c r="A3" t="str">
        <v>PHASE 1: FOUNDATION (Months 1-3)</v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</row>
    <row r="4">
      <c r="A4" t="str">
        <v/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</row>
    <row r="5">
      <c r="A5" t="str">
        <v>#</v>
      </c>
      <c r="B5" t="str">
        <v>ACTION</v>
      </c>
      <c r="C5" t="str">
        <v>FUNCTION</v>
      </c>
      <c r="D5" t="str">
        <v>FINDING REF</v>
      </c>
      <c r="E5" t="str">
        <v>OWNER</v>
      </c>
      <c r="F5" t="str">
        <v>M1</v>
      </c>
      <c r="G5" t="str">
        <v>M2</v>
      </c>
      <c r="H5" t="str">
        <v>M3</v>
      </c>
      <c r="I5" t="str">
        <v>DELIVERABLE</v>
      </c>
    </row>
    <row r="6">
      <c r="A6" t="str">
        <v>1.1</v>
      </c>
      <c r="B6" t="str">
        <v/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</row>
    <row r="7">
      <c r="A7" t="str">
        <v>1.2</v>
      </c>
      <c r="B7" t="str">
        <v/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</row>
    <row r="8">
      <c r="A8" t="str">
        <v>1.3</v>
      </c>
      <c r="B8" t="str">
        <v/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</row>
    <row r="9">
      <c r="A9" t="str">
        <v>1.4</v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</row>
    <row r="10">
      <c r="A10" t="str">
        <v>1.5</v>
      </c>
      <c r="B10" t="str">
        <v/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</row>
    <row r="11">
      <c r="A11" t="str">
        <v/>
      </c>
      <c r="B11" t="str">
        <v/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</row>
    <row r="12">
      <c r="A12" t="str">
        <v>PHASE 2: INTEGRATION (Months 4-8)</v>
      </c>
      <c r="B12" t="str">
        <v/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</row>
    <row r="13">
      <c r="A13" t="str">
        <v/>
      </c>
      <c r="B13" t="str">
        <v/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</row>
    <row r="14">
      <c r="A14" t="str">
        <v>#</v>
      </c>
      <c r="B14" t="str">
        <v>ACTION</v>
      </c>
      <c r="C14" t="str">
        <v>FUNCTION</v>
      </c>
      <c r="D14" t="str">
        <v>FINDING REF</v>
      </c>
      <c r="E14" t="str">
        <v>OWNER</v>
      </c>
      <c r="F14" t="str">
        <v>M4</v>
      </c>
      <c r="G14" t="str">
        <v>M5</v>
      </c>
      <c r="H14" t="str">
        <v>M6-8</v>
      </c>
      <c r="I14" t="str">
        <v>DELIVERABLE</v>
      </c>
    </row>
    <row r="15">
      <c r="A15" t="str">
        <v>2.1</v>
      </c>
      <c r="B15" t="str">
        <v/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</row>
    <row r="16">
      <c r="A16" t="str">
        <v>2.2</v>
      </c>
      <c r="B16" t="str">
        <v/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</row>
    <row r="17">
      <c r="A17" t="str">
        <v>2.3</v>
      </c>
      <c r="B17" t="str">
        <v/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</row>
    <row r="18">
      <c r="A18" t="str">
        <v>2.4</v>
      </c>
      <c r="B18" t="str">
        <v/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</row>
    <row r="19">
      <c r="A19" t="str">
        <v>2.5</v>
      </c>
      <c r="B19" t="str">
        <v/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</row>
    <row r="20">
      <c r="A20" t="str">
        <v/>
      </c>
      <c r="B20" t="str">
        <v/>
      </c>
      <c r="C20" t="str">
        <v/>
      </c>
      <c r="D20" t="str">
        <v/>
      </c>
      <c r="E20" t="str">
        <v/>
      </c>
      <c r="F20" t="str">
        <v/>
      </c>
      <c r="G20" t="str">
        <v/>
      </c>
      <c r="H20" t="str">
        <v/>
      </c>
      <c r="I20" t="str">
        <v/>
      </c>
    </row>
    <row r="21">
      <c r="A21" t="str">
        <v>PHASE 3: OPTIMIZATION (Months 9-12)</v>
      </c>
      <c r="B21" t="str">
        <v/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</row>
    <row r="22">
      <c r="A22" t="str">
        <v/>
      </c>
      <c r="B22" t="str">
        <v/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</row>
    <row r="23">
      <c r="A23" t="str">
        <v>#</v>
      </c>
      <c r="B23" t="str">
        <v>ACTION</v>
      </c>
      <c r="C23" t="str">
        <v>FUNCTION</v>
      </c>
      <c r="D23" t="str">
        <v>FINDING REF</v>
      </c>
      <c r="E23" t="str">
        <v>OWNER</v>
      </c>
      <c r="F23" t="str">
        <v>M9</v>
      </c>
      <c r="G23" t="str">
        <v>M10</v>
      </c>
      <c r="H23" t="str">
        <v>M11-12</v>
      </c>
      <c r="I23" t="str">
        <v>DELIVERABLE</v>
      </c>
    </row>
    <row r="24">
      <c r="A24" t="str">
        <v>3.1</v>
      </c>
      <c r="B24" t="str">
        <v/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</row>
    <row r="25">
      <c r="A25" t="str">
        <v>3.2</v>
      </c>
      <c r="B25" t="str">
        <v/>
      </c>
      <c r="C25" t="str">
        <v/>
      </c>
      <c r="D25" t="str">
        <v/>
      </c>
      <c r="E25" t="str">
        <v/>
      </c>
      <c r="F25" t="str">
        <v/>
      </c>
      <c r="G25" t="str">
        <v/>
      </c>
      <c r="H25" t="str">
        <v/>
      </c>
      <c r="I25" t="str">
        <v/>
      </c>
    </row>
    <row r="26">
      <c r="A26" t="str">
        <v>3.3</v>
      </c>
      <c r="B26" t="str">
        <v/>
      </c>
      <c r="C26" t="str">
        <v/>
      </c>
      <c r="D26" t="str">
        <v/>
      </c>
      <c r="E26" t="str">
        <v/>
      </c>
      <c r="F26" t="str">
        <v/>
      </c>
      <c r="G26" t="str">
        <v/>
      </c>
      <c r="H26" t="str">
        <v/>
      </c>
      <c r="I26" t="str">
        <v/>
      </c>
    </row>
    <row r="27">
      <c r="A27" t="str">
        <v>3.4</v>
      </c>
      <c r="B27" t="str">
        <v/>
      </c>
      <c r="C27" t="str">
        <v/>
      </c>
      <c r="D27" t="str">
        <v/>
      </c>
      <c r="E27" t="str">
        <v/>
      </c>
      <c r="F27" t="str">
        <v/>
      </c>
      <c r="G27" t="str">
        <v/>
      </c>
      <c r="H27" t="str">
        <v/>
      </c>
      <c r="I27" t="str">
        <v/>
      </c>
    </row>
    <row r="28">
      <c r="A28" t="str">
        <v>3.5</v>
      </c>
      <c r="B28" t="str">
        <v/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</row>
  </sheetData>
  <ignoredErrors>
    <ignoredError numberStoredAsText="1" sqref="A1:I2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G20"/>
  <sheetViews>
    <sheetView workbookViewId="0"/>
  </sheetViews>
  <cols>
    <col min="1" max="1" width="22.83203125" customWidth="1"/>
    <col min="2" max="2" width="20.83203125" customWidth="1"/>
    <col min="3" max="3" width="10.83203125" customWidth="1"/>
    <col min="4" max="4" width="12.83203125" customWidth="1"/>
    <col min="5" max="5" width="10.83203125" customWidth="1"/>
    <col min="6" max="6" width="20.83203125" customWidth="1"/>
    <col min="7" max="7" width="30.83203125" customWidth="1"/>
  </cols>
  <sheetData>
    <row r="1">
      <c r="A1" t="str">
        <v>SECURITY TOOL INVENTORY</v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</row>
    <row r="2">
      <c r="A2" t="str">
        <v/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</row>
    <row r="3">
      <c r="A3" t="str">
        <v>CATEGORY</v>
      </c>
      <c r="B3" t="str">
        <v>CURRENT TOOL</v>
      </c>
      <c r="C3" t="str">
        <v>VERSION</v>
      </c>
      <c r="D3" t="str">
        <v>COVERAGE %</v>
      </c>
      <c r="E3" t="str">
        <v>BLOCKING?</v>
      </c>
      <c r="F3" t="str">
        <v>RECOMMENDED</v>
      </c>
      <c r="G3" t="str">
        <v>NOTES</v>
      </c>
    </row>
    <row r="4">
      <c r="A4" t="str">
        <v/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/>
      </c>
    </row>
    <row r="5">
      <c r="A5" t="str">
        <v>SAST</v>
      </c>
      <c r="B5" t="str">
        <v/>
      </c>
      <c r="C5" t="str">
        <v/>
      </c>
      <c r="D5" t="str">
        <v/>
      </c>
      <c r="E5" t="str">
        <v/>
      </c>
      <c r="F5" t="str">
        <v/>
      </c>
      <c r="G5" t="str">
        <v/>
      </c>
    </row>
    <row r="6">
      <c r="A6" t="str">
        <v>DAST</v>
      </c>
      <c r="B6" t="str">
        <v/>
      </c>
      <c r="C6" t="str">
        <v/>
      </c>
      <c r="D6" t="str">
        <v/>
      </c>
      <c r="E6" t="str">
        <v/>
      </c>
      <c r="F6" t="str">
        <v/>
      </c>
      <c r="G6" t="str">
        <v/>
      </c>
    </row>
    <row r="7">
      <c r="A7" t="str">
        <v>SCA</v>
      </c>
      <c r="B7" t="str">
        <v/>
      </c>
      <c r="C7" t="str">
        <v/>
      </c>
      <c r="D7" t="str">
        <v/>
      </c>
      <c r="E7" t="str">
        <v/>
      </c>
      <c r="F7" t="str">
        <v/>
      </c>
      <c r="G7" t="str">
        <v/>
      </c>
    </row>
    <row r="8">
      <c r="A8" t="str">
        <v>Secrets Scanning</v>
      </c>
      <c r="B8" t="str">
        <v/>
      </c>
      <c r="C8" t="str">
        <v/>
      </c>
      <c r="D8" t="str">
        <v/>
      </c>
      <c r="E8" t="str">
        <v/>
      </c>
      <c r="F8" t="str">
        <v/>
      </c>
      <c r="G8" t="str">
        <v/>
      </c>
    </row>
    <row r="9">
      <c r="A9" t="str">
        <v>Container Scanning</v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</row>
    <row r="10">
      <c r="A10" t="str">
        <v>IaC Scanning</v>
      </c>
      <c r="B10" t="str">
        <v/>
      </c>
      <c r="C10" t="str">
        <v/>
      </c>
      <c r="D10" t="str">
        <v/>
      </c>
      <c r="E10" t="str">
        <v/>
      </c>
      <c r="F10" t="str">
        <v/>
      </c>
      <c r="G10" t="str">
        <v/>
      </c>
    </row>
    <row r="11">
      <c r="A11" t="str">
        <v>SBOM Generation</v>
      </c>
      <c r="B11" t="str">
        <v/>
      </c>
      <c r="C11" t="str">
        <v/>
      </c>
      <c r="D11" t="str">
        <v/>
      </c>
      <c r="E11" t="str">
        <v/>
      </c>
      <c r="F11" t="str">
        <v/>
      </c>
      <c r="G11" t="str">
        <v/>
      </c>
    </row>
    <row r="12">
      <c r="A12" t="str">
        <v>Code Signing</v>
      </c>
      <c r="B12" t="str">
        <v/>
      </c>
      <c r="C12" t="str">
        <v/>
      </c>
      <c r="D12" t="str">
        <v/>
      </c>
      <c r="E12" t="str">
        <v/>
      </c>
      <c r="F12" t="str">
        <v/>
      </c>
      <c r="G12" t="str">
        <v/>
      </c>
    </row>
    <row r="13">
      <c r="A13" t="str">
        <v>Vulnerability Management</v>
      </c>
      <c r="B13" t="str">
        <v/>
      </c>
      <c r="C13" t="str">
        <v/>
      </c>
      <c r="D13" t="str">
        <v/>
      </c>
      <c r="E13" t="str">
        <v/>
      </c>
      <c r="F13" t="str">
        <v/>
      </c>
      <c r="G13" t="str">
        <v/>
      </c>
    </row>
    <row r="14">
      <c r="A14" t="str">
        <v>SIEM</v>
      </c>
      <c r="B14" t="str">
        <v/>
      </c>
      <c r="C14" t="str">
        <v/>
      </c>
      <c r="D14" t="str">
        <v/>
      </c>
      <c r="E14" t="str">
        <v/>
      </c>
      <c r="F14" t="str">
        <v/>
      </c>
      <c r="G14" t="str">
        <v/>
      </c>
    </row>
    <row r="15">
      <c r="A15" t="str">
        <v>Secrets Manager</v>
      </c>
      <c r="B15" t="str">
        <v/>
      </c>
      <c r="C15" t="str">
        <v/>
      </c>
      <c r="D15" t="str">
        <v/>
      </c>
      <c r="E15" t="str">
        <v/>
      </c>
      <c r="F15" t="str">
        <v/>
      </c>
      <c r="G15" t="str">
        <v/>
      </c>
    </row>
    <row r="16">
      <c r="A16" t="str">
        <v>WAF</v>
      </c>
      <c r="B16" t="str">
        <v/>
      </c>
      <c r="C16" t="str">
        <v/>
      </c>
      <c r="D16" t="str">
        <v/>
      </c>
      <c r="E16" t="str">
        <v/>
      </c>
      <c r="F16" t="str">
        <v/>
      </c>
      <c r="G16" t="str">
        <v/>
      </c>
    </row>
    <row r="17">
      <c r="A17" t="str">
        <v>API Security</v>
      </c>
      <c r="B17" t="str">
        <v/>
      </c>
      <c r="C17" t="str">
        <v/>
      </c>
      <c r="D17" t="str">
        <v/>
      </c>
      <c r="E17" t="str">
        <v/>
      </c>
      <c r="F17" t="str">
        <v/>
      </c>
      <c r="G17" t="str">
        <v/>
      </c>
    </row>
    <row r="18">
      <c r="A18" t="str">
        <v>Pen Testing</v>
      </c>
      <c r="B18" t="str">
        <v/>
      </c>
      <c r="C18" t="str">
        <v/>
      </c>
      <c r="D18" t="str">
        <v/>
      </c>
      <c r="E18" t="str">
        <v/>
      </c>
      <c r="F18" t="str">
        <v/>
      </c>
      <c r="G18" t="str">
        <v/>
      </c>
    </row>
    <row r="19">
      <c r="A19" t="str">
        <v>Training Platform</v>
      </c>
      <c r="B19" t="str">
        <v/>
      </c>
      <c r="C19" t="str">
        <v/>
      </c>
      <c r="D19" t="str">
        <v/>
      </c>
      <c r="E19" t="str">
        <v/>
      </c>
      <c r="F19" t="str">
        <v/>
      </c>
      <c r="G19" t="str">
        <v/>
      </c>
    </row>
    <row r="20">
      <c r="A20" t="str">
        <v>Threat Modeling</v>
      </c>
      <c r="B20" t="str">
        <v/>
      </c>
      <c r="C20" t="str">
        <v/>
      </c>
      <c r="D20" t="str">
        <v/>
      </c>
      <c r="E20" t="str">
        <v/>
      </c>
      <c r="F20" t="str">
        <v/>
      </c>
      <c r="G20" t="str">
        <v/>
      </c>
    </row>
  </sheetData>
  <ignoredErrors>
    <ignoredError numberStoredAsText="1" sqref="A1:G20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G10"/>
  <sheetViews>
    <sheetView workbookViewId="0"/>
  </sheetViews>
  <cols>
    <col min="1" max="1" width="12.83203125" customWidth="1"/>
    <col min="2" max="2" width="10.83203125" customWidth="1"/>
    <col min="3" max="3" width="18.83203125" customWidth="1"/>
    <col min="4" max="4" width="30.83203125" customWidth="1"/>
    <col min="5" max="5" width="30.83203125" customWidth="1"/>
    <col min="6" max="6" width="12.83203125" customWidth="1"/>
    <col min="7" max="7" width="30.83203125" customWidth="1"/>
  </cols>
  <sheetData>
    <row r="1">
      <c r="A1" t="str">
        <v>INTERVIEW SCHEDULE</v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</row>
    <row r="2">
      <c r="A2" t="str">
        <v/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</row>
    <row r="3">
      <c r="A3" t="str">
        <v>DATE</v>
      </c>
      <c r="B3" t="str">
        <v>TIME</v>
      </c>
      <c r="C3" t="str">
        <v>FUNCTION</v>
      </c>
      <c r="D3" t="str">
        <v>PARTICIPANTS</v>
      </c>
      <c r="E3" t="str">
        <v>LOCATION/LINK</v>
      </c>
      <c r="F3" t="str">
        <v>STATUS</v>
      </c>
      <c r="G3" t="str">
        <v>NOTES</v>
      </c>
    </row>
    <row r="4">
      <c r="A4" t="str">
        <v/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/>
      </c>
    </row>
    <row r="5">
      <c r="A5" t="str">
        <v/>
      </c>
      <c r="B5" t="str">
        <v/>
      </c>
      <c r="C5" t="str">
        <v>Governance</v>
      </c>
      <c r="D5" t="str">
        <v/>
      </c>
      <c r="E5" t="str">
        <v/>
      </c>
      <c r="F5" t="str">
        <v>Scheduled</v>
      </c>
      <c r="G5" t="str">
        <v/>
      </c>
    </row>
    <row r="6">
      <c r="A6" t="str">
        <v/>
      </c>
      <c r="B6" t="str">
        <v/>
      </c>
      <c r="C6" t="str">
        <v>Design</v>
      </c>
      <c r="D6" t="str">
        <v/>
      </c>
      <c r="E6" t="str">
        <v/>
      </c>
      <c r="F6" t="str">
        <v>Scheduled</v>
      </c>
      <c r="G6" t="str">
        <v/>
      </c>
    </row>
    <row r="7">
      <c r="A7" t="str">
        <v/>
      </c>
      <c r="B7" t="str">
        <v/>
      </c>
      <c r="C7" t="str">
        <v>Implementation</v>
      </c>
      <c r="D7" t="str">
        <v/>
      </c>
      <c r="E7" t="str">
        <v/>
      </c>
      <c r="F7" t="str">
        <v>Scheduled</v>
      </c>
      <c r="G7" t="str">
        <v/>
      </c>
    </row>
    <row r="8">
      <c r="A8" t="str">
        <v/>
      </c>
      <c r="B8" t="str">
        <v/>
      </c>
      <c r="C8" t="str">
        <v>Verification</v>
      </c>
      <c r="D8" t="str">
        <v/>
      </c>
      <c r="E8" t="str">
        <v/>
      </c>
      <c r="F8" t="str">
        <v>Scheduled</v>
      </c>
      <c r="G8" t="str">
        <v/>
      </c>
    </row>
    <row r="9">
      <c r="A9" t="str">
        <v/>
      </c>
      <c r="B9" t="str">
        <v/>
      </c>
      <c r="C9" t="str">
        <v>Operations</v>
      </c>
      <c r="D9" t="str">
        <v/>
      </c>
      <c r="E9" t="str">
        <v/>
      </c>
      <c r="F9" t="str">
        <v>Scheduled</v>
      </c>
      <c r="G9" t="str">
        <v/>
      </c>
    </row>
    <row r="10">
      <c r="A10" t="str">
        <v/>
      </c>
      <c r="B10" t="str">
        <v/>
      </c>
      <c r="C10" t="str">
        <v>Wrap-up / Validation</v>
      </c>
      <c r="D10" t="str">
        <v/>
      </c>
      <c r="E10" t="str">
        <v/>
      </c>
      <c r="F10" t="str">
        <v>Scheduled</v>
      </c>
      <c r="G10" t="str">
        <v/>
      </c>
    </row>
  </sheetData>
  <ignoredErrors>
    <ignoredError numberStoredAsText="1" sqref="A1:G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Scorecard</vt:lpstr>
      <vt:lpstr>Evidence Tracker</vt:lpstr>
      <vt:lpstr>Findings Log</vt:lpstr>
      <vt:lpstr>Roadmap Builder</vt:lpstr>
      <vt:lpstr>Tool Inventory</vt:lpstr>
      <vt:lpstr>Interview Schedule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